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https://uofc.sharepoint.com/sites/Capstone_yitual/Shared Documents/General/01 - Administrative/02 - Expense Sheet/"/>
    </mc:Choice>
  </mc:AlternateContent>
  <xr:revisionPtr revIDLastSave="176" documentId="11_E8270AB21BDA3D486FAC43A645E708ED3CED4125" xr6:coauthVersionLast="47" xr6:coauthVersionMax="47" xr10:uidLastSave="{0B1805EA-ADF3-4E5D-828B-A2DA1218A672}"/>
  <bookViews>
    <workbookView xWindow="-120" yWindow="-120" windowWidth="2064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<sst xmlns="http://schemas.openxmlformats.org/spreadsheetml/2006/main" count="47" uniqueCount="37">
  <si>
    <t>Item</t>
  </si>
  <si>
    <t>Digikey Part Number</t>
  </si>
  <si>
    <t>Quantity</t>
  </si>
  <si>
    <t>Price</t>
  </si>
  <si>
    <t>Magnet Wire</t>
  </si>
  <si>
    <t>1175-1684-ND</t>
  </si>
  <si>
    <t>TR Switch</t>
  </si>
  <si>
    <t>505-ADG1412YRUZ-ND</t>
  </si>
  <si>
    <t>Variable Capacitors</t>
  </si>
  <si>
    <t>1956-1056-ND</t>
  </si>
  <si>
    <t>BNC Connectors</t>
  </si>
  <si>
    <t>ACX1037-ND</t>
  </si>
  <si>
    <t>N to BNC Interconnects</t>
  </si>
  <si>
    <t>5480-RFN-1037-1-ND</t>
  </si>
  <si>
    <t>BNC Barrel Connects</t>
  </si>
  <si>
    <t>ARFX1069-ND</t>
  </si>
  <si>
    <t>BNC Coax Cables</t>
  </si>
  <si>
    <t>501-1877-ND</t>
  </si>
  <si>
    <t>DB25 Connector Adapter</t>
  </si>
  <si>
    <t>-</t>
  </si>
  <si>
    <t>Arduino Mega</t>
  </si>
  <si>
    <t>Cable Sleeve</t>
  </si>
  <si>
    <t>Breakout Module for Arduino Mega</t>
  </si>
  <si>
    <t>Semi Rigid Coax</t>
  </si>
  <si>
    <t>314-BU-4150081MM750-ND</t>
  </si>
  <si>
    <t>314-BU-4150081024-ND</t>
  </si>
  <si>
    <t>Terminator</t>
  </si>
  <si>
    <t>3157-BW-N30W50+-ND</t>
  </si>
  <si>
    <t>Bidirectional Coupler</t>
  </si>
  <si>
    <t>3157-ZABDC50-51HP+-ND</t>
  </si>
  <si>
    <t>BNC to SMA Interconnects</t>
  </si>
  <si>
    <t>116-29-3855-ND</t>
  </si>
  <si>
    <t>3157-SF-BM50+-ND</t>
  </si>
  <si>
    <t>5480-RFN-1039-1-ND</t>
  </si>
  <si>
    <t>Tuning Circuit PCB</t>
  </si>
  <si>
    <t>Field Components Order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</si>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</sst>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64" fontId="0" fillId="0" borderId="0" xfId="1" applyFont="1"/>
    <xf numFmtId="0" fontId="1" fillId="2" borderId="0" xfId="1" applyNumberFormat="1" applyFont="1" applyFill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/>
  <cols>
    <col min="1" max="1" width="44.140625" customWidth="1"/>
    <col min="2" max="2" width="44.140625" hidden="1" customWidth="1"/>
    <col min="3" max="3" width="13.85546875" customWidth="1"/>
    <col min="4" max="4" width="11.7109375" style="2" customWidth="1"/>
  </cols>
  <sheetData>
    <row r="1" spans="1:4">
      <c r="A1" s="1" t="s">
        <v>0</v>
      </c>
      <c r="B1" s="1" t="s">
        <v>1</v>
      </c>
      <c r="C1" s="1" t="s">
        <v>2</v>
      </c>
      <c r="D1" s="3" t="s">
        <v>3</v>
      </c>
    </row>
    <row r="2" spans="1:4">
      <c r="A2" t="s">
        <v>4</v>
      </c>
      <c r="B2" s="4" t="s">
        <v>5</v>
      </c>
      <c r="C2" s="4">
        <v>1</v>
      </c>
      <c r="D2" s="2">
        <v>209.97</v>
      </c>
    </row>
    <row r="3" spans="1:4">
      <c r="A3" t="s">
        <v>6</v>
      </c>
      <c r="B3" t="s">
        <v>7</v>
      </c>
      <c r="C3">
        <v>3</v>
      </c>
      <c r="D3" s="2">
        <v>16.329999999999998</v>
      </c>
    </row>
    <row r="4" spans="1:4">
      <c r="A4" t="s">
        <v>8</v>
      </c>
      <c r="B4" t="s">
        <v>9</v>
      </c>
      <c r="C4">
        <v>2</v>
      </c>
      <c r="D4" s="2">
        <v>137.49</v>
      </c>
    </row>
    <row r="5" spans="1:4">
      <c r="A5" t="s">
        <v>10</v>
      </c>
      <c r="B5" t="s">
        <v>11</v>
      </c>
      <c r="C5">
        <v>8</v>
      </c>
      <c r="D5" s="2">
        <v>10.28</v>
      </c>
    </row>
    <row r="6" spans="1:4">
      <c r="A6" t="s">
        <v>12</v>
      </c>
      <c r="B6" t="s">
        <v>13</v>
      </c>
      <c r="C6">
        <v>8</v>
      </c>
      <c r="D6" s="2">
        <v>10.8</v>
      </c>
    </row>
    <row r="7" spans="1:4">
      <c r="A7" t="s">
        <v>14</v>
      </c>
      <c r="B7" t="s">
        <v>15</v>
      </c>
      <c r="C7">
        <v>10</v>
      </c>
      <c r="D7" s="2">
        <v>10.45</v>
      </c>
    </row>
    <row r="8" spans="1:4">
      <c r="A8" t="s">
        <v>16</v>
      </c>
      <c r="B8" t="s">
        <v>17</v>
      </c>
      <c r="C8">
        <v>10</v>
      </c>
      <c r="D8" s="2">
        <v>22.34</v>
      </c>
    </row>
    <row r="9" spans="1:4">
      <c r="A9" s="5" t="s">
        <v>18</v>
      </c>
      <c r="B9" s="6" t="s">
        <v>19</v>
      </c>
      <c r="C9">
        <v>1</v>
      </c>
      <c r="D9" s="2">
        <v>25.28</v>
      </c>
    </row>
    <row r="10" spans="1:4">
      <c r="A10" s="5" t="s">
        <v>20</v>
      </c>
      <c r="B10" s="6" t="s">
        <v>19</v>
      </c>
      <c r="C10">
        <v>1</v>
      </c>
      <c r="D10" s="2">
        <v>27.95</v>
      </c>
    </row>
    <row r="11" spans="1:4">
      <c r="A11" s="5" t="s">
        <v>21</v>
      </c>
      <c r="B11" s="6" t="s">
        <v>19</v>
      </c>
      <c r="C11">
        <v>1</v>
      </c>
      <c r="D11" s="2">
        <v>13.99</v>
      </c>
    </row>
    <row r="12" spans="1:4">
      <c r="A12" s="5" t="s">
        <v>22</v>
      </c>
      <c r="B12" s="6" t="s">
        <v>19</v>
      </c>
      <c r="C12">
        <v>1</v>
      </c>
      <c r="D12" s="2">
        <v>49.83</v>
      </c>
    </row>
    <row r="13" spans="1:4">
      <c r="A13" t="s">
        <v>23</v>
      </c>
      <c r="B13" t="s">
        <v>24</v>
      </c>
      <c r="C13">
        <v>2</v>
      </c>
      <c r="D13" s="2">
        <v>66.61</v>
      </c>
    </row>
    <row r="14" spans="1:4">
      <c r="A14" t="s">
        <v>23</v>
      </c>
      <c r="B14" t="s">
        <v>25</v>
      </c>
      <c r="C14">
        <v>2</v>
      </c>
      <c r="D14" s="2">
        <v>59.12</v>
      </c>
    </row>
    <row r="15" spans="1:4">
      <c r="A15" t="s">
        <v>26</v>
      </c>
      <c r="B15" t="s">
        <v>27</v>
      </c>
      <c r="C15">
        <v>1</v>
      </c>
      <c r="D15" s="2">
        <v>668.12</v>
      </c>
    </row>
    <row r="16" spans="1:4">
      <c r="A16" t="s">
        <v>28</v>
      </c>
      <c r="B16" t="s">
        <v>29</v>
      </c>
      <c r="C16">
        <v>1</v>
      </c>
      <c r="D16" s="2">
        <v>225.48</v>
      </c>
    </row>
    <row r="17" spans="1:4">
      <c r="A17" t="s">
        <v>30</v>
      </c>
      <c r="B17" t="s">
        <v>31</v>
      </c>
      <c r="C17">
        <v>8</v>
      </c>
      <c r="D17" s="2">
        <v>7.59</v>
      </c>
    </row>
    <row r="18" spans="1:4">
      <c r="A18" t="s">
        <v>30</v>
      </c>
      <c r="B18" t="s">
        <v>32</v>
      </c>
      <c r="C18">
        <v>4</v>
      </c>
      <c r="D18" s="2">
        <v>12.83</v>
      </c>
    </row>
    <row r="19" spans="1:4">
      <c r="A19" t="s">
        <v>12</v>
      </c>
      <c r="B19" t="s">
        <v>33</v>
      </c>
      <c r="C19">
        <v>2</v>
      </c>
      <c r="D19" s="2">
        <v>11.29</v>
      </c>
    </row>
    <row r="20" spans="1:4">
      <c r="A20" t="s">
        <v>6</v>
      </c>
      <c r="B20" s="6" t="s">
        <v>19</v>
      </c>
      <c r="C20">
        <v>1</v>
      </c>
      <c r="D20" s="2">
        <v>1700</v>
      </c>
    </row>
    <row r="21" spans="1:4">
      <c r="A21" t="s">
        <v>34</v>
      </c>
      <c r="B21" s="6" t="s">
        <v>19</v>
      </c>
      <c r="C21">
        <v>1</v>
      </c>
      <c r="D21" s="2">
        <v>20</v>
      </c>
    </row>
    <row r="22" spans="1:4">
      <c r="A22" t="s">
        <v>35</v>
      </c>
      <c r="B22" s="6" t="s">
        <v>19</v>
      </c>
      <c r="C22">
        <v>1</v>
      </c>
      <c r="D22" s="2">
        <v>239.12</v>
      </c>
    </row>
    <row r="24" spans="1:4">
      <c r="C24" s="1" t="s">
        <v>36</v>
      </c>
      <c r="D24" s="7">
        <f>SUMPRODUCT(C2:C22,D2:D22)</f>
        <v>4386.33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53f0df-bd42-4819-bdab-5c640e426358">
      <Terms xmlns="http://schemas.microsoft.com/office/infopath/2007/PartnerControls"/>
    </lcf76f155ced4ddcb4097134ff3c332f>
    <TaxCatchAll xmlns="bc8b61a2-6b32-45fb-9748-88609e09ff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958296567F55479618E4626E15774D" ma:contentTypeVersion="13" ma:contentTypeDescription="Create a new document." ma:contentTypeScope="" ma:versionID="ee00ed77a8e18223cc13f8dfe490c681">
  <xsd:schema xmlns:xsd="http://www.w3.org/2001/XMLSchema" xmlns:xs="http://www.w3.org/2001/XMLSchema" xmlns:p="http://schemas.microsoft.com/office/2006/metadata/properties" xmlns:ns2="0253f0df-bd42-4819-bdab-5c640e426358" xmlns:ns3="bc8b61a2-6b32-45fb-9748-88609e09ff0c" targetNamespace="http://schemas.microsoft.com/office/2006/metadata/properties" ma:root="true" ma:fieldsID="af4b2bddd77165b4881885ada33bddf8" ns2:_="" ns3:_="">
    <xsd:import namespace="0253f0df-bd42-4819-bdab-5c640e426358"/>
    <xsd:import namespace="bc8b61a2-6b32-45fb-9748-88609e09ff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3f0df-bd42-4819-bdab-5c640e426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23ff3b-8b4b-4ebe-81e4-de565bb03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b61a2-6b32-45fb-9748-88609e09ff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5b7561-e426-4cf3-9aa2-8eafa6124aa9}" ma:internalName="TaxCatchAll" ma:showField="CatchAllData" ma:web="bc8b61a2-6b32-45fb-9748-88609e09ff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5B2547-79D9-42B5-BB41-03BA4B7C903B}"/>
</file>

<file path=customXml/itemProps2.xml><?xml version="1.0" encoding="utf-8"?>
<ds:datastoreItem xmlns:ds="http://schemas.openxmlformats.org/officeDocument/2006/customXml" ds:itemID="{B2E7E1C4-1B59-4AB4-B894-08613CB52945}"/>
</file>

<file path=customXml/itemProps3.xml><?xml version="1.0" encoding="utf-8"?>
<ds:datastoreItem xmlns:ds="http://schemas.openxmlformats.org/officeDocument/2006/customXml" ds:itemID="{30A24A77-2218-401B-A776-5C5490132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Spencer Tourigny</cp:lastModifiedBy>
  <cp:revision/>
  <dcterms:created xsi:type="dcterms:W3CDTF">2025-10-12T01:38:13Z</dcterms:created>
  <dcterms:modified xsi:type="dcterms:W3CDTF">2026-04-12T05:27:44Z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0x01010014958296567F55479618E4626E15774D</vt:lpwstr>
  </property>
  <property fmtid="{D5CDD505-2E9C-101B-9397-08002B2CF9AE}" pid="3" name="MediaServiceImageTags">
    <vt:lpwstr/>
  </property>
</Properties>
</file>