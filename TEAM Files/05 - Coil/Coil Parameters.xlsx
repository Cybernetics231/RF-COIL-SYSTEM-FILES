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ofc.sharepoint.com/sites/Capstone_yitual/Shared Documents/General/05 - Coil/"/>
    </mc:Choice>
  </mc:AlternateContent>
  <xr:revisionPtr revIDLastSave="55" documentId="13_ncr:1_{04AD1E57-363D-417C-937B-A944E402CD07}" xr6:coauthVersionLast="47" xr6:coauthVersionMax="47" xr10:uidLastSave="{A3DB4278-B6E6-4B88-AC0F-4DC9B966D000}"/>
  <bookViews>
    <workbookView xWindow="-120" yWindow="-120" windowWidth="20640" windowHeight="11040" xr2:uid="{BE9D2928-5302-4592-ACCD-81922FC5301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G15" i="1" s="1"/>
  <c r="F14" i="1"/>
  <c r="G14" i="1" s="1"/>
  <c r="F13" i="1"/>
  <c r="G13" i="1" s="1"/>
  <c r="F11" i="1"/>
  <c r="G11" i="1" s="1"/>
  <c r="F12" i="1"/>
  <c r="G12" i="1" s="1"/>
  <c r="B8" i="1"/>
  <c r="H8" i="1" s="1"/>
  <c r="B7" i="1"/>
  <c r="H7" i="1" s="1"/>
  <c r="F6" i="1"/>
  <c r="G6" i="1" s="1"/>
  <c r="B4" i="1"/>
  <c r="H4" i="1" s="1"/>
  <c r="B21" i="1"/>
  <c r="B20" i="1"/>
  <c r="B19" i="1"/>
  <c r="B18" i="1"/>
  <c r="F4" i="1"/>
  <c r="G4" i="1" s="1"/>
  <c r="F7" i="1"/>
  <c r="G7" i="1" s="1"/>
  <c r="F8" i="1"/>
  <c r="G8" i="1" s="1"/>
  <c r="F10" i="1"/>
  <c r="G10" i="1" s="1"/>
  <c r="D3" i="1"/>
  <c r="F3" i="1" s="1"/>
  <c r="C3" i="1"/>
  <c r="B3" i="1"/>
  <c r="H3" i="1" l="1"/>
  <c r="I8" i="1"/>
  <c r="J8" i="1" s="1"/>
  <c r="G3" i="1"/>
  <c r="B30" i="1"/>
  <c r="L8" i="1"/>
  <c r="L7" i="1"/>
  <c r="B25" i="1"/>
  <c r="I3" i="1"/>
  <c r="J3" i="1" s="1"/>
  <c r="I7" i="1"/>
  <c r="J7" i="1" s="1"/>
  <c r="I4" i="1"/>
  <c r="J4" i="1" s="1"/>
  <c r="L4" i="1"/>
  <c r="L3" i="1" l="1"/>
  <c r="K8" i="1"/>
  <c r="K3" i="1"/>
  <c r="K7" i="1"/>
  <c r="K4" i="1"/>
</calcChain>
</file>

<file path=xl/sharedStrings.xml><?xml version="1.0" encoding="utf-8"?>
<sst xmlns="http://schemas.openxmlformats.org/spreadsheetml/2006/main" count="40" uniqueCount="40">
  <si>
    <t>3 dB Bandwidth</t>
  </si>
  <si>
    <t>Resistance</t>
  </si>
  <si>
    <t>Test</t>
  </si>
  <si>
    <t>Capacitor</t>
  </si>
  <si>
    <t>Peak Frequency</t>
  </si>
  <si>
    <t>Low</t>
  </si>
  <si>
    <t>High</t>
  </si>
  <si>
    <t>Bandwidth</t>
  </si>
  <si>
    <t>Q Factor</t>
  </si>
  <si>
    <t>Inductance</t>
  </si>
  <si>
    <t>Skin Depth</t>
  </si>
  <si>
    <t>RAC Ohmeter</t>
  </si>
  <si>
    <t>RAC Calc</t>
  </si>
  <si>
    <t>dB at tuned freq.</t>
  </si>
  <si>
    <t>Old Coil - Large Cap in Parallel</t>
  </si>
  <si>
    <t>Old Coil - Approx. Cap in Parallel</t>
  </si>
  <si>
    <t>Old Coil - Tuned and Matched PCB</t>
  </si>
  <si>
    <t>Old Coil - PCB &amp; Sniffer Probes</t>
  </si>
  <si>
    <t>New Coil - Large Cap in Parallel</t>
  </si>
  <si>
    <t>New Coil - Approx. Cap in Parallel</t>
  </si>
  <si>
    <t>New Coil - Tuned and Matched PCB</t>
  </si>
  <si>
    <t>New Coil - PCB &amp; Sniffer Probes</t>
  </si>
  <si>
    <t>Copper Resistivity</t>
  </si>
  <si>
    <t>Copper Permitivitty</t>
  </si>
  <si>
    <t>Copper Permeability</t>
  </si>
  <si>
    <t>Wire Radius</t>
  </si>
  <si>
    <t>Old Coil DC Resistance (Ohmmeter)</t>
  </si>
  <si>
    <t>Oil Coil Length</t>
  </si>
  <si>
    <t>Old Coil DC Resistance (Calc)</t>
  </si>
  <si>
    <t>New Coil DC Resistance (Ohmmeter)</t>
  </si>
  <si>
    <t>New Coil Length</t>
  </si>
  <si>
    <t>New Coil DC Resistance (Calc)</t>
  </si>
  <si>
    <t>New Coil - Unloaded</t>
  </si>
  <si>
    <t>New Coil - Loaded (Yuri)</t>
  </si>
  <si>
    <t>New Coil - Loaded (Spencer)</t>
  </si>
  <si>
    <t>3ohms from radiation</t>
  </si>
  <si>
    <t>RAC + Rrad from Q</t>
  </si>
  <si>
    <t>15m ~ lambda/4 -&gt; radiating antenna</t>
  </si>
  <si>
    <t>New Coil - Loaded (Jenny)</t>
  </si>
  <si>
    <t>New Coil - Loaded (Ian)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</si>
</sst>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Continuous"/>
    </xf>
    <xf numFmtId="0" fontId="0" fillId="0" borderId="1" xfId="0" applyBorder="1" applyAlignment="1">
      <alignment horizontal="centerContinuous"/>
    </xf>
    <xf numFmtId="0" fontId="0" fillId="0" borderId="1" xfId="0" applyBorder="1"/>
    <xf numFmtId="0" fontId="0" fillId="0" borderId="2" xfId="0" applyBorder="1" applyAlignment="1">
      <alignment horizontal="centerContinuous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1" fontId="0" fillId="0" borderId="2" xfId="0" applyNumberFormat="1" applyBorder="1"/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" xfId="0" applyFill="1" applyBorder="1"/>
    <xf numFmtId="11" fontId="0" fillId="0" borderId="0" xfId="0" applyNumberFormat="1" applyBorder="1"/>
    <xf numFmtId="0" fontId="0" fillId="0" borderId="0" xfId="0" applyBorder="1"/>
    <xf numFmtId="11" fontId="0" fillId="0" borderId="1" xfId="0" applyNumberFormat="1" applyBorder="1"/>
    <xf numFmtId="11" fontId="0" fillId="0" borderId="3" xfId="0" applyNumberFormat="1" applyBorder="1"/>
    <xf numFmtId="11" fontId="0" fillId="0" borderId="5" xfId="0" applyNumberFormat="1" applyBorder="1"/>
    <xf numFmtId="1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980F-D432-4E14-A64D-4841932093B4}">
  <dimension ref="A1:M30"/>
  <sheetViews>
    <sheetView tabSelected="1" topLeftCell="A7" workbookViewId="0">
      <selection activeCell="D15" sqref="D15"/>
    </sheetView>
  </sheetViews>
  <sheetFormatPr defaultRowHeight="15" x14ac:dyDescent="0.25"/>
  <cols>
    <col min="1" max="1" width="32.7109375" bestFit="1" customWidth="1"/>
    <col min="2" max="2" width="12" bestFit="1" customWidth="1"/>
    <col min="3" max="3" width="14.85546875" bestFit="1" customWidth="1"/>
    <col min="4" max="4" width="8.5703125" customWidth="1"/>
    <col min="5" max="5" width="9.28515625" customWidth="1"/>
    <col min="6" max="6" width="14.7109375" bestFit="1" customWidth="1"/>
    <col min="7" max="7" width="10.42578125" customWidth="1"/>
    <col min="8" max="8" width="10.85546875" bestFit="1" customWidth="1"/>
    <col min="9" max="9" width="12" bestFit="1" customWidth="1"/>
    <col min="10" max="10" width="12.42578125" bestFit="1" customWidth="1"/>
    <col min="11" max="11" width="12.42578125" customWidth="1"/>
    <col min="12" max="12" width="17" bestFit="1" customWidth="1"/>
    <col min="13" max="13" width="15.42578125" bestFit="1" customWidth="1"/>
  </cols>
  <sheetData>
    <row r="1" spans="1:13" x14ac:dyDescent="0.25">
      <c r="A1" s="6"/>
      <c r="C1" s="6"/>
      <c r="D1" s="2" t="s">
        <v>0</v>
      </c>
      <c r="E1" s="2"/>
      <c r="F1" s="5"/>
      <c r="I1" s="3" t="s">
        <v>1</v>
      </c>
      <c r="J1" s="2"/>
      <c r="K1" s="2"/>
      <c r="L1" s="2"/>
      <c r="M1" s="4"/>
    </row>
    <row r="2" spans="1:13" x14ac:dyDescent="0.25">
      <c r="A2" s="9" t="s">
        <v>2</v>
      </c>
      <c r="B2" s="7" t="s">
        <v>3</v>
      </c>
      <c r="C2" s="9" t="s">
        <v>4</v>
      </c>
      <c r="D2" s="7" t="s">
        <v>5</v>
      </c>
      <c r="E2" s="7" t="s">
        <v>6</v>
      </c>
      <c r="F2" s="9" t="s">
        <v>7</v>
      </c>
      <c r="G2" s="7" t="s">
        <v>8</v>
      </c>
      <c r="H2" s="7" t="s">
        <v>9</v>
      </c>
      <c r="I2" s="8" t="s">
        <v>10</v>
      </c>
      <c r="J2" s="7" t="s">
        <v>11</v>
      </c>
      <c r="K2" s="7" t="s">
        <v>12</v>
      </c>
      <c r="L2" s="7" t="s">
        <v>36</v>
      </c>
      <c r="M2" s="8" t="s">
        <v>13</v>
      </c>
    </row>
    <row r="3" spans="1:13" x14ac:dyDescent="0.25">
      <c r="A3" s="6" t="s">
        <v>14</v>
      </c>
      <c r="B3" s="1">
        <f>0.000000001</f>
        <v>1.0000000000000001E-9</v>
      </c>
      <c r="C3" s="10">
        <f>643000</f>
        <v>643000</v>
      </c>
      <c r="D3" s="1">
        <f>636860</f>
        <v>636860</v>
      </c>
      <c r="E3" s="1">
        <v>649330</v>
      </c>
      <c r="F3" s="10">
        <f>E3-D3</f>
        <v>12470</v>
      </c>
      <c r="G3">
        <f>C3/F3</f>
        <v>51.563753007217322</v>
      </c>
      <c r="H3">
        <f>1/(B3*((2*PI()*C3)^2))</f>
        <v>6.1265829426566373E-5</v>
      </c>
      <c r="I3" s="4">
        <f>SQRT(2*$B$18/(2*PI()*C3*$B$20))</f>
        <v>8.1352457949635071E-5</v>
      </c>
      <c r="J3">
        <f>$B$23*$B$21/(2*I3)</f>
        <v>0.99874056725245486</v>
      </c>
      <c r="K3">
        <f>$B$25*$B$21/(2*I3)</f>
        <v>0.68666537324892496</v>
      </c>
      <c r="L3">
        <f>(2*PI()*C3*H3/G3)</f>
        <v>4.8002586542861021</v>
      </c>
      <c r="M3" s="4"/>
    </row>
    <row r="4" spans="1:13" x14ac:dyDescent="0.25">
      <c r="A4" s="6" t="s">
        <v>15</v>
      </c>
      <c r="B4" s="1">
        <f>0.000000000068</f>
        <v>6.7999999999999998E-11</v>
      </c>
      <c r="C4" s="10">
        <v>2125150</v>
      </c>
      <c r="D4" s="1">
        <v>2120458</v>
      </c>
      <c r="E4" s="1">
        <v>2129712</v>
      </c>
      <c r="F4" s="10">
        <f t="shared" ref="F4:F10" si="0">E4-D4</f>
        <v>9254</v>
      </c>
      <c r="G4">
        <f t="shared" ref="G4:G7" si="1">C4/F4</f>
        <v>229.64663929111737</v>
      </c>
      <c r="H4" s="1">
        <f t="shared" ref="H4:H7" si="2">1/(B4*((2*PI()*C4)^2))</f>
        <v>8.2480668422268811E-5</v>
      </c>
      <c r="I4" s="4">
        <f>SQRT(2*$B$18/(2*PI()*C4*$B$20))</f>
        <v>4.4748797653283315E-5</v>
      </c>
      <c r="J4">
        <f>$B$23*$B$21/(2*I4)</f>
        <v>1.8156912422436566</v>
      </c>
      <c r="K4">
        <f>$B$25*$B$21/(2*I4)</f>
        <v>1.2483445105168078</v>
      </c>
      <c r="L4">
        <f t="shared" ref="L4:L7" si="3">(2*PI()*C4*H4/G4)</f>
        <v>4.7958052118994727</v>
      </c>
      <c r="M4" s="4"/>
    </row>
    <row r="5" spans="1:13" x14ac:dyDescent="0.25">
      <c r="A5" s="6" t="s">
        <v>16</v>
      </c>
      <c r="B5" s="11"/>
      <c r="C5" s="10">
        <v>2180000</v>
      </c>
      <c r="D5" s="1"/>
      <c r="E5" s="1"/>
      <c r="F5" s="10"/>
      <c r="H5" s="11"/>
      <c r="I5" s="4"/>
      <c r="L5" s="12"/>
      <c r="M5" s="4">
        <v>-40.4</v>
      </c>
    </row>
    <row r="6" spans="1:13" x14ac:dyDescent="0.25">
      <c r="A6" s="9" t="s">
        <v>17</v>
      </c>
      <c r="B6" s="19"/>
      <c r="C6" s="18">
        <v>2574800</v>
      </c>
      <c r="D6" s="17">
        <v>2567640</v>
      </c>
      <c r="E6" s="17">
        <v>2581800</v>
      </c>
      <c r="F6" s="18">
        <f t="shared" si="0"/>
        <v>14160</v>
      </c>
      <c r="G6" s="7">
        <f t="shared" si="1"/>
        <v>181.83615819209041</v>
      </c>
      <c r="H6" s="19"/>
      <c r="I6" s="8"/>
      <c r="J6" s="7"/>
      <c r="K6" s="7"/>
      <c r="L6" s="20"/>
      <c r="M6" s="8"/>
    </row>
    <row r="7" spans="1:13" x14ac:dyDescent="0.25">
      <c r="A7" s="6" t="s">
        <v>18</v>
      </c>
      <c r="B7" s="1">
        <f>0.000000001</f>
        <v>1.0000000000000001E-9</v>
      </c>
      <c r="C7" s="10">
        <v>683200</v>
      </c>
      <c r="D7" s="1">
        <v>677000</v>
      </c>
      <c r="E7" s="1">
        <v>690600</v>
      </c>
      <c r="F7" s="10">
        <f t="shared" si="0"/>
        <v>13600</v>
      </c>
      <c r="G7">
        <f t="shared" si="1"/>
        <v>50.235294117647058</v>
      </c>
      <c r="H7" s="1">
        <f t="shared" si="2"/>
        <v>5.4268091417558646E-5</v>
      </c>
      <c r="I7" s="4">
        <f>SQRT(2*$B$18/(2*PI()*C7*$B$20))</f>
        <v>7.8922754942976352E-5</v>
      </c>
      <c r="J7">
        <f>$B$27*$B$21/(2*I7)</f>
        <v>1.02948763076891</v>
      </c>
      <c r="K7">
        <f>$B$30*$B$21/(2*I7)</f>
        <v>0.72500491375067466</v>
      </c>
      <c r="L7">
        <f t="shared" si="3"/>
        <v>4.6372800551513693</v>
      </c>
      <c r="M7" s="4"/>
    </row>
    <row r="8" spans="1:13" x14ac:dyDescent="0.25">
      <c r="A8" s="6" t="s">
        <v>19</v>
      </c>
      <c r="B8" s="1">
        <f>0.000000000068</f>
        <v>6.7999999999999998E-11</v>
      </c>
      <c r="C8" s="10">
        <v>2190000</v>
      </c>
      <c r="D8" s="1">
        <v>2185060</v>
      </c>
      <c r="E8" s="1">
        <v>2195420</v>
      </c>
      <c r="F8" s="10">
        <f t="shared" si="0"/>
        <v>10360</v>
      </c>
      <c r="G8">
        <f t="shared" ref="G8:G10" si="4">C8/F8</f>
        <v>211.3899613899614</v>
      </c>
      <c r="H8" s="1">
        <f>1/(B8*((2*PI()*C8)^2))</f>
        <v>7.766817865062068E-5</v>
      </c>
      <c r="I8" s="4">
        <f t="shared" ref="I8" si="5">SQRT(2*$B$18/(2*PI()*C8*$B$20))</f>
        <v>4.4081271002451349E-5</v>
      </c>
      <c r="J8">
        <f t="shared" ref="J8" si="6">$B$27*$B$21/(2*I8)</f>
        <v>1.8431864180023692</v>
      </c>
      <c r="K8">
        <f>$B$30*$B$21/(2*I8)</f>
        <v>1.2980429973812744</v>
      </c>
      <c r="L8">
        <f t="shared" ref="L8" si="7">(2*PI()*C8*H8/G8)</f>
        <v>5.0557168705456625</v>
      </c>
      <c r="M8" s="4"/>
    </row>
    <row r="9" spans="1:13" x14ac:dyDescent="0.25">
      <c r="A9" s="6" t="s">
        <v>20</v>
      </c>
      <c r="B9" s="1"/>
      <c r="C9" s="10">
        <v>2181800</v>
      </c>
      <c r="D9" s="1"/>
      <c r="E9" s="1"/>
      <c r="F9" s="10"/>
      <c r="H9" s="1"/>
      <c r="I9" s="4"/>
      <c r="M9" s="4">
        <v>-43.1</v>
      </c>
    </row>
    <row r="10" spans="1:13" x14ac:dyDescent="0.25">
      <c r="A10" s="9" t="s">
        <v>21</v>
      </c>
      <c r="B10" s="17"/>
      <c r="C10" s="18">
        <v>2551000</v>
      </c>
      <c r="D10" s="17">
        <v>2543810</v>
      </c>
      <c r="E10" s="17">
        <v>2558260</v>
      </c>
      <c r="F10" s="18">
        <f t="shared" si="0"/>
        <v>14450</v>
      </c>
      <c r="G10" s="7">
        <f t="shared" si="4"/>
        <v>176.53979238754326</v>
      </c>
      <c r="H10" s="17"/>
      <c r="I10" s="8"/>
      <c r="J10" s="7"/>
      <c r="K10" s="7"/>
      <c r="L10" s="7"/>
      <c r="M10" s="8"/>
    </row>
    <row r="11" spans="1:13" x14ac:dyDescent="0.25">
      <c r="A11" s="6" t="s">
        <v>32</v>
      </c>
      <c r="B11" s="1"/>
      <c r="C11" s="14">
        <v>2563040</v>
      </c>
      <c r="D11" s="16">
        <v>2556670</v>
      </c>
      <c r="E11" s="1">
        <v>2569280</v>
      </c>
      <c r="F11" s="10">
        <f t="shared" ref="F11" si="8">E11-D11</f>
        <v>12610</v>
      </c>
      <c r="G11">
        <f t="shared" ref="G11" si="9">C11/F11</f>
        <v>203.25455987311656</v>
      </c>
      <c r="H11" s="1"/>
      <c r="I11" s="15"/>
      <c r="M11" s="15"/>
    </row>
    <row r="12" spans="1:13" x14ac:dyDescent="0.25">
      <c r="A12" s="13" t="s">
        <v>33</v>
      </c>
      <c r="B12" s="1"/>
      <c r="C12" s="1">
        <v>2545280</v>
      </c>
      <c r="D12" s="16">
        <v>2537620</v>
      </c>
      <c r="E12" s="1">
        <v>2552550</v>
      </c>
      <c r="F12" s="10">
        <f t="shared" ref="F12" si="10">E12-D12</f>
        <v>14930</v>
      </c>
      <c r="G12">
        <f t="shared" ref="G12" si="11">C12/F12</f>
        <v>170.48091091761555</v>
      </c>
    </row>
    <row r="13" spans="1:13" x14ac:dyDescent="0.25">
      <c r="A13" s="13" t="s">
        <v>34</v>
      </c>
      <c r="B13" s="1"/>
      <c r="C13" s="1">
        <v>2551420</v>
      </c>
      <c r="D13" s="16">
        <v>2544130</v>
      </c>
      <c r="E13" s="1">
        <v>2558780</v>
      </c>
      <c r="F13" s="10">
        <f t="shared" ref="F13:F14" si="12">E13-D13</f>
        <v>14650</v>
      </c>
      <c r="G13">
        <f t="shared" ref="G13:G14" si="13">C13/F13</f>
        <v>174.15836177474404</v>
      </c>
    </row>
    <row r="14" spans="1:13" x14ac:dyDescent="0.25">
      <c r="A14" s="13" t="s">
        <v>38</v>
      </c>
      <c r="B14" s="1"/>
      <c r="C14" s="1">
        <v>2536520</v>
      </c>
      <c r="D14" s="14">
        <v>2529500</v>
      </c>
      <c r="E14" s="1">
        <v>2543340</v>
      </c>
      <c r="F14" s="14">
        <f t="shared" si="12"/>
        <v>13840</v>
      </c>
      <c r="G14" s="4">
        <f t="shared" si="13"/>
        <v>183.27456647398844</v>
      </c>
    </row>
    <row r="15" spans="1:13" x14ac:dyDescent="0.25">
      <c r="A15" s="13" t="s">
        <v>39</v>
      </c>
      <c r="B15" s="1"/>
      <c r="C15" s="1">
        <v>2541640</v>
      </c>
      <c r="D15" s="14">
        <v>2534520</v>
      </c>
      <c r="E15" s="1">
        <v>2549040</v>
      </c>
      <c r="F15" s="14">
        <f t="shared" ref="F15" si="14">E15-D15</f>
        <v>14520</v>
      </c>
      <c r="G15" s="4">
        <f t="shared" ref="G15" si="15">C15/F15</f>
        <v>175.04407713498622</v>
      </c>
    </row>
    <row r="16" spans="1:13" x14ac:dyDescent="0.25">
      <c r="B16" s="1"/>
    </row>
    <row r="17" spans="1:2" x14ac:dyDescent="0.25">
      <c r="B17" s="1"/>
    </row>
    <row r="18" spans="1:2" x14ac:dyDescent="0.25">
      <c r="A18" t="s">
        <v>22</v>
      </c>
      <c r="B18" s="1">
        <f>1.68*10^-8</f>
        <v>1.6799999999999998E-8</v>
      </c>
    </row>
    <row r="19" spans="1:2" x14ac:dyDescent="0.25">
      <c r="A19" t="s">
        <v>23</v>
      </c>
      <c r="B19">
        <f>8.85*10^-12</f>
        <v>8.8499999999999988E-12</v>
      </c>
    </row>
    <row r="20" spans="1:2" x14ac:dyDescent="0.25">
      <c r="A20" t="s">
        <v>24</v>
      </c>
      <c r="B20">
        <f>1.256629 *10^-6</f>
        <v>1.2566289999999999E-6</v>
      </c>
    </row>
    <row r="21" spans="1:2" x14ac:dyDescent="0.25">
      <c r="A21" t="s">
        <v>25</v>
      </c>
      <c r="B21" s="1">
        <f>0.65*10^-3</f>
        <v>6.5000000000000008E-4</v>
      </c>
    </row>
    <row r="23" spans="1:2" x14ac:dyDescent="0.25">
      <c r="A23" t="s">
        <v>26</v>
      </c>
      <c r="B23">
        <v>0.25</v>
      </c>
    </row>
    <row r="24" spans="1:2" x14ac:dyDescent="0.25">
      <c r="A24" t="s">
        <v>27</v>
      </c>
      <c r="B24">
        <v>13.58</v>
      </c>
    </row>
    <row r="25" spans="1:2" x14ac:dyDescent="0.25">
      <c r="A25" t="s">
        <v>28</v>
      </c>
      <c r="B25" s="1">
        <f>B18*B24/(PI()*B21^2)</f>
        <v>0.17188281816216502</v>
      </c>
    </row>
    <row r="27" spans="1:2" x14ac:dyDescent="0.25">
      <c r="A27" t="s">
        <v>29</v>
      </c>
      <c r="B27">
        <v>0.25</v>
      </c>
    </row>
    <row r="28" spans="1:2" x14ac:dyDescent="0.25">
      <c r="A28" t="s">
        <v>30</v>
      </c>
      <c r="B28">
        <v>13.91</v>
      </c>
    </row>
    <row r="29" spans="1:2" x14ac:dyDescent="0.25">
      <c r="A29" t="s">
        <v>37</v>
      </c>
      <c r="B29" t="s">
        <v>35</v>
      </c>
    </row>
    <row r="30" spans="1:2" x14ac:dyDescent="0.25">
      <c r="A30" t="s">
        <v>31</v>
      </c>
      <c r="B30" s="1">
        <f>B18*B28/(PI()*B21^2)</f>
        <v>0.17605964658584058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53f0df-bd42-4819-bdab-5c640e426358">
      <Terms xmlns="http://schemas.microsoft.com/office/infopath/2007/PartnerControls"/>
    </lcf76f155ced4ddcb4097134ff3c332f>
    <TaxCatchAll xmlns="bc8b61a2-6b32-45fb-9748-88609e09ff0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958296567F55479618E4626E15774D" ma:contentTypeVersion="13" ma:contentTypeDescription="Create a new document." ma:contentTypeScope="" ma:versionID="ee00ed77a8e18223cc13f8dfe490c681">
  <xsd:schema xmlns:xsd="http://www.w3.org/2001/XMLSchema" xmlns:xs="http://www.w3.org/2001/XMLSchema" xmlns:p="http://schemas.microsoft.com/office/2006/metadata/properties" xmlns:ns2="0253f0df-bd42-4819-bdab-5c640e426358" xmlns:ns3="bc8b61a2-6b32-45fb-9748-88609e09ff0c" targetNamespace="http://schemas.microsoft.com/office/2006/metadata/properties" ma:root="true" ma:fieldsID="af4b2bddd77165b4881885ada33bddf8" ns2:_="" ns3:_="">
    <xsd:import namespace="0253f0df-bd42-4819-bdab-5c640e426358"/>
    <xsd:import namespace="bc8b61a2-6b32-45fb-9748-88609e09ff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53f0df-bd42-4819-bdab-5c640e4263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d23ff3b-8b4b-4ebe-81e4-de565bb03c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b61a2-6b32-45fb-9748-88609e09ff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5b7561-e426-4cf3-9aa2-8eafa6124aa9}" ma:internalName="TaxCatchAll" ma:showField="CatchAllData" ma:web="bc8b61a2-6b32-45fb-9748-88609e09ff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6693E0-B161-4327-8F57-1A270B1144F0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bc8b61a2-6b32-45fb-9748-88609e09ff0c"/>
    <ds:schemaRef ds:uri="http://schemas.openxmlformats.org/package/2006/metadata/core-properties"/>
    <ds:schemaRef ds:uri="0253f0df-bd42-4819-bdab-5c640e426358"/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D8CA644-6738-47C3-AFD1-41B39A6739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E9CC1F-2A4E-4699-A2D3-97402B5B07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 Tourigny</dc:creator>
  <cp:keywords/>
  <dc:description/>
  <cp:lastModifiedBy>Spencer Tourigny</cp:lastModifiedBy>
  <cp:revision/>
  <dcterms:created xsi:type="dcterms:W3CDTF">2026-03-24T19:22:51Z</dcterms:created>
  <dcterms:modified xsi:type="dcterms:W3CDTF">2026-03-26T21:39:59Z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0x01010014958296567F55479618E4626E15774D</vt:lpwstr>
  </property>
  <property fmtid="{D5CDD505-2E9C-101B-9397-08002B2CF9AE}" pid="3" name="MediaServiceImageTags">
    <vt:lpwstr/>
  </property>
</Properties>
</file>